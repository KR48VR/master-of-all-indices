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Variable Catalog" sheetId="2" state="visible" r:id="rId4"/>
    <sheet name="Scoring 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<sst xmlns="http://schemas.openxmlformats.org/spreadsheetml/2006/main" count="495" uniqueCount="294">
  <si>
    <t xml:space="preserve">The Modular City Index — Blueprint (Phase 1)</t>
  </si>
  <si>
    <t xml:space="preserve">One pool of verifiable variables. Pick any big areas, mix them, add or drop variables — and the index rebuilds itself, honestly.</t>
  </si>
  <si>
    <t xml:space="preserve">How the index is built (the 4 layers)</t>
  </si>
  <si>
    <t xml:space="preserve">Variable  →  Sub-theme  →  Domain  →  Your composite score</t>
  </si>
  <si>
    <t xml:space="preserve">You toggle things on or off at any layer. Everything below happens automatically each time.</t>
  </si>
  <si>
    <t xml:space="preserve">The 5 rules that keep it honest</t>
  </si>
  <si>
    <t xml:space="preserve">1. Same scale first</t>
  </si>
  <si>
    <t xml:space="preserve">Every variable is stretched onto a 0–100 scale before combining, so you never add different units together (e.g. crime rate vs broadband speed).</t>
  </si>
  <si>
    <t xml:space="preserve">2. Which way is good</t>
  </si>
  <si>
    <t xml:space="preserve">Each variable is flagged 'higher = better' or 'lower = better'. The engine flips the 'lower' ones so more always means a better score.</t>
  </si>
  <si>
    <t xml:space="preserve">3. Don't double-count</t>
  </si>
  <si>
    <t xml:space="preserve">Variables that move together (e.g. income + house prices + cost of living) secretly over-weight one idea. The tool should warn when you stack look-alikes.</t>
  </si>
  <si>
    <t xml:space="preserve">4. How you combine</t>
  </si>
  <si>
    <t xml:space="preserve">Simple average lets a great score hide a terrible one. A 'balanced' average (geometric) rewards cities that are decent across the board. Offer both.</t>
  </si>
  <si>
    <t xml:space="preserve">5. Does it wobble</t>
  </si>
  <si>
    <t xml:space="preserve">When you drop a variable or change a weight, show how much the ranking moves. Stable = trustworthy. Swings wildly = fragile. This is the credibility feature.</t>
  </si>
  <si>
    <t xml:space="preserve">The build plan</t>
  </si>
  <si>
    <t xml:space="preserve">Phase 1  (this file)</t>
  </si>
  <si>
    <t xml:space="preserve">Design the skeleton — done. React to it, edit rows, settle the shape.</t>
  </si>
  <si>
    <t xml:space="preserve">Phase 2  (Cowork)</t>
  </si>
  <si>
    <t xml:space="preserve">Fill the data. Add one column per city and gather verifiable numbers from the listed sources.</t>
  </si>
  <si>
    <t xml:space="preserve">Phase 3  (Claude Code)</t>
  </si>
  <si>
    <t xml:space="preserve">Build the interactive app — toggles, weight sliders, live ranking. Can be a single index.html for GitHub Pages.</t>
  </si>
  <si>
    <t xml:space="preserve">How to use the catalog tab</t>
  </si>
  <si>
    <t xml:space="preserve">•</t>
  </si>
  <si>
    <t xml:space="preserve">Add a variable  →  add a row.   Drop a variable  →  delete the row.</t>
  </si>
  <si>
    <t xml:space="preserve">'Data level' tells you if a number is true city data, metro-area, or a country-level stand-in (weakest — flag to users).</t>
  </si>
  <si>
    <t xml:space="preserve">'Pilot set' marks a lean starter subset (best data coverage) so you can build a working version fast before scaling up.</t>
  </si>
  <si>
    <t xml:space="preserve">'Direction' isn't always obvious — e.g. low cost of living looks 'good' but a rich city having high costs isn't 'bad'. Decide per audience.</t>
  </si>
  <si>
    <t xml:space="preserve">At a glance (updates as you edit the catalog)</t>
  </si>
  <si>
    <t xml:space="preserve">Domain</t>
  </si>
  <si>
    <t xml:space="preserve">Variables</t>
  </si>
  <si>
    <t xml:space="preserve">In pilot set</t>
  </si>
  <si>
    <t xml:space="preserve">Liveable</t>
  </si>
  <si>
    <t xml:space="preserve">Green</t>
  </si>
  <si>
    <t xml:space="preserve">Smart</t>
  </si>
  <si>
    <t xml:space="preserve">Competitive</t>
  </si>
  <si>
    <t xml:space="preserve">Talent</t>
  </si>
  <si>
    <t xml:space="preserve">Connected</t>
  </si>
  <si>
    <t xml:space="preserve">TOTAL</t>
  </si>
  <si>
    <t xml:space="preserve">ID</t>
  </si>
  <si>
    <t xml:space="preserve">Sub-theme</t>
  </si>
  <si>
    <t xml:space="preserve">Variable</t>
  </si>
  <si>
    <t xml:space="preserve">What it measures</t>
  </si>
  <si>
    <t xml:space="preserve">Unit</t>
  </si>
  <si>
    <t xml:space="preserve">Direction</t>
  </si>
  <si>
    <t xml:space="preserve">Data level</t>
  </si>
  <si>
    <t xml:space="preserve">Primary source</t>
  </si>
  <si>
    <t xml:space="preserve">Appears in</t>
  </si>
  <si>
    <t xml:space="preserve">Pilot set</t>
  </si>
  <si>
    <t xml:space="preserve">Notes / caveat</t>
  </si>
  <si>
    <t xml:space="preserve">LIV-01</t>
  </si>
  <si>
    <t xml:space="preserve">Safety &amp; Stability</t>
  </si>
  <si>
    <t xml:space="preserve">Homicide rate</t>
  </si>
  <si>
    <t xml:space="preserve">Intentional homicides per 100,000 residents</t>
  </si>
  <si>
    <t xml:space="preserve">per 100k</t>
  </si>
  <si>
    <t xml:space="preserve">Lower = better</t>
  </si>
  <si>
    <t xml:space="preserve">City</t>
  </si>
  <si>
    <t xml:space="preserve">UNODC / national police</t>
  </si>
  <si>
    <t xml:space="preserve">EIU (Stability)</t>
  </si>
  <si>
    <t xml:space="preserve">Yes</t>
  </si>
  <si>
    <t xml:space="preserve">Well covered, but crime definitions vary by country</t>
  </si>
  <si>
    <t xml:space="preserve">LIV-02</t>
  </si>
  <si>
    <t xml:space="preserve">Perceived safety</t>
  </si>
  <si>
    <t xml:space="preserve">Resident-reported feeling of safety</t>
  </si>
  <si>
    <t xml:space="preserve">index 0-100</t>
  </si>
  <si>
    <t xml:space="preserve">Higher = better</t>
  </si>
  <si>
    <t xml:space="preserve">Numbeo Safety Index</t>
  </si>
  <si>
    <t xml:space="preserve">—</t>
  </si>
  <si>
    <t xml:space="preserve">Crowd-sourced — treat as a soft signal</t>
  </si>
  <si>
    <t xml:space="preserve">LIV-03</t>
  </si>
  <si>
    <t xml:space="preserve">Political stability</t>
  </si>
  <si>
    <t xml:space="preserve">Absence of violence / terrorism</t>
  </si>
  <si>
    <t xml:space="preserve">index</t>
  </si>
  <si>
    <t xml:space="preserve">Country proxy</t>
  </si>
  <si>
    <t xml:space="preserve">World Bank WGI</t>
  </si>
  <si>
    <t xml:space="preserve">Country-level stand-in, not city-specific</t>
  </si>
  <si>
    <t xml:space="preserve">LIV-04</t>
  </si>
  <si>
    <t xml:space="preserve">Health</t>
  </si>
  <si>
    <t xml:space="preserve">Life expectancy</t>
  </si>
  <si>
    <t xml:space="preserve">Average life expectancy at birth</t>
  </si>
  <si>
    <t xml:space="preserve">years</t>
  </si>
  <si>
    <t xml:space="preserve">Metro</t>
  </si>
  <si>
    <t xml:space="preserve">WHO / OECD Regions</t>
  </si>
  <si>
    <t xml:space="preserve">GPCI (Livability)</t>
  </si>
  <si>
    <t xml:space="preserve">Strong for OECD metros</t>
  </si>
  <si>
    <t xml:space="preserve">LIV-05</t>
  </si>
  <si>
    <t xml:space="preserve">Physicians per capita</t>
  </si>
  <si>
    <t xml:space="preserve">Doctors per 1,000 residents</t>
  </si>
  <si>
    <t xml:space="preserve">per 1k</t>
  </si>
  <si>
    <t xml:space="preserve">OECD / WHO</t>
  </si>
  <si>
    <t xml:space="preserve">EIU (Healthcare)</t>
  </si>
  <si>
    <t xml:space="preserve">LIV-06</t>
  </si>
  <si>
    <t xml:space="preserve">Housing &amp; Cost</t>
  </si>
  <si>
    <t xml:space="preserve">House-price-to-income</t>
  </si>
  <si>
    <t xml:space="preserve">Median home price divided by median income</t>
  </si>
  <si>
    <t xml:space="preserve">ratio</t>
  </si>
  <si>
    <t xml:space="preserve">Numbeo / OECD</t>
  </si>
  <si>
    <t xml:space="preserve">Core affordability signal</t>
  </si>
  <si>
    <t xml:space="preserve">LIV-07</t>
  </si>
  <si>
    <t xml:space="preserve">Cost of living</t>
  </si>
  <si>
    <t xml:space="preserve">Cost of a standard basket vs a benchmark city</t>
  </si>
  <si>
    <t xml:space="preserve">Numbeo</t>
  </si>
  <si>
    <t xml:space="preserve">Mercer</t>
  </si>
  <si>
    <t xml:space="preserve">Direction is contestable — decide per audience</t>
  </si>
  <si>
    <t xml:space="preserve">LIV-08</t>
  </si>
  <si>
    <t xml:space="preserve">Culture &amp; Amenities</t>
  </si>
  <si>
    <t xml:space="preserve">Cultural venues</t>
  </si>
  <si>
    <t xml:space="preserve">Museums / theatres / venues per 100,000</t>
  </si>
  <si>
    <t xml:space="preserve">City open data / GPCI</t>
  </si>
  <si>
    <t xml:space="preserve">GPCI (Cultural Interaction)</t>
  </si>
  <si>
    <t xml:space="preserve">Sourcing varies widely</t>
  </si>
  <si>
    <t xml:space="preserve">GRN-01</t>
  </si>
  <si>
    <t xml:space="preserve">Air &amp; Environment</t>
  </si>
  <si>
    <t xml:space="preserve">PM2.5 air pollution</t>
  </si>
  <si>
    <t xml:space="preserve">Annual mean fine particulate matter</t>
  </si>
  <si>
    <t xml:space="preserve">ug/m3</t>
  </si>
  <si>
    <t xml:space="preserve">WHO Ambient Air Quality DB</t>
  </si>
  <si>
    <t xml:space="preserve">GPCI (Environment)</t>
  </si>
  <si>
    <t xml:space="preserve">Excellent global coverage</t>
  </si>
  <si>
    <t xml:space="preserve">GRN-02</t>
  </si>
  <si>
    <t xml:space="preserve">Green space access</t>
  </si>
  <si>
    <t xml:space="preserve">% residents within 300m of green space</t>
  </si>
  <si>
    <t xml:space="preserve">%</t>
  </si>
  <si>
    <t xml:space="preserve">UN-Habitat / ESA satellite</t>
  </si>
  <si>
    <t xml:space="preserve">Satellite-derived, consistent</t>
  </si>
  <si>
    <t xml:space="preserve">GRN-03</t>
  </si>
  <si>
    <t xml:space="preserve">Climate &amp; Emissions</t>
  </si>
  <si>
    <t xml:space="preserve">CO2 per capita</t>
  </si>
  <si>
    <t xml:space="preserve">Territorial emissions per resident</t>
  </si>
  <si>
    <t xml:space="preserve">tonnes</t>
  </si>
  <si>
    <t xml:space="preserve">Global Covenant of Mayors</t>
  </si>
  <si>
    <t xml:space="preserve">Self-reported, has gaps</t>
  </si>
  <si>
    <t xml:space="preserve">GRN-04</t>
  </si>
  <si>
    <t xml:space="preserve">Renewable energy share</t>
  </si>
  <si>
    <t xml:space="preserve">% of city energy from renewables</t>
  </si>
  <si>
    <t xml:space="preserve">WCCD (ISO 37120)</t>
  </si>
  <si>
    <t xml:space="preserve">Only for reporting cities</t>
  </si>
  <si>
    <t xml:space="preserve">GRN-05</t>
  </si>
  <si>
    <t xml:space="preserve">Resource Efficiency</t>
  </si>
  <si>
    <t xml:space="preserve">Waste recycled</t>
  </si>
  <si>
    <t xml:space="preserve">% of municipal waste recycled</t>
  </si>
  <si>
    <t xml:space="preserve">GRN-06</t>
  </si>
  <si>
    <t xml:space="preserve">Water use per capita</t>
  </si>
  <si>
    <t xml:space="preserve">Daily water consumption per resident</t>
  </si>
  <si>
    <t xml:space="preserve">litres/day</t>
  </si>
  <si>
    <t xml:space="preserve">WCCD</t>
  </si>
  <si>
    <t xml:space="preserve">GRN-07</t>
  </si>
  <si>
    <t xml:space="preserve">Climate Risk</t>
  </si>
  <si>
    <t xml:space="preserve">Hazard exposure</t>
  </si>
  <si>
    <t xml:space="preserve">Modelled exposure to flood / extreme heat</t>
  </si>
  <si>
    <t xml:space="preserve">WRI / modelled</t>
  </si>
  <si>
    <t xml:space="preserve">Optional resilience angle</t>
  </si>
  <si>
    <t xml:space="preserve">SMT-01</t>
  </si>
  <si>
    <t xml:space="preserve">Connectivity</t>
  </si>
  <si>
    <t xml:space="preserve">Broadband speed</t>
  </si>
  <si>
    <t xml:space="preserve">Median fixed download speed</t>
  </si>
  <si>
    <t xml:space="preserve">Mbps</t>
  </si>
  <si>
    <t xml:space="preserve">Ookla Speedtest</t>
  </si>
  <si>
    <t xml:space="preserve">IMD Smart City</t>
  </si>
  <si>
    <t xml:space="preserve">Good city coverage</t>
  </si>
  <si>
    <t xml:space="preserve">SMT-02</t>
  </si>
  <si>
    <t xml:space="preserve">5G coverage</t>
  </si>
  <si>
    <t xml:space="preserve">% population with 5G access</t>
  </si>
  <si>
    <t xml:space="preserve">GSMA / regulators</t>
  </si>
  <si>
    <t xml:space="preserve">SMT-03</t>
  </si>
  <si>
    <t xml:space="preserve">Digital Governance</t>
  </si>
  <si>
    <t xml:space="preserve">E-government</t>
  </si>
  <si>
    <t xml:space="preserve">Availability of online public services</t>
  </si>
  <si>
    <t xml:space="preserve">UN E-Gov / IMD</t>
  </si>
  <si>
    <t xml:space="preserve">Partly survey-based</t>
  </si>
  <si>
    <t xml:space="preserve">SMT-04</t>
  </si>
  <si>
    <t xml:space="preserve">Open data</t>
  </si>
  <si>
    <t xml:space="preserve">Maturity of public open-data provision</t>
  </si>
  <si>
    <t xml:space="preserve">Open Data Barometer</t>
  </si>
  <si>
    <t xml:space="preserve">SMT-05</t>
  </si>
  <si>
    <t xml:space="preserve">Digital Adoption</t>
  </si>
  <si>
    <t xml:space="preserve">Population online</t>
  </si>
  <si>
    <t xml:space="preserve">% of residents using the internet</t>
  </si>
  <si>
    <t xml:space="preserve">ITU</t>
  </si>
  <si>
    <t xml:space="preserve">Often only available country-level</t>
  </si>
  <si>
    <t xml:space="preserve">SMT-06</t>
  </si>
  <si>
    <t xml:space="preserve">Smart Services</t>
  </si>
  <si>
    <t xml:space="preserve">Smart mobility</t>
  </si>
  <si>
    <t xml:space="preserve">Real-time transit info / app availability</t>
  </si>
  <si>
    <t xml:space="preserve">IMD Smart City survey</t>
  </si>
  <si>
    <t xml:space="preserve">Perception-based</t>
  </si>
  <si>
    <t xml:space="preserve">CMP-01</t>
  </si>
  <si>
    <t xml:space="preserve">Economic Output</t>
  </si>
  <si>
    <t xml:space="preserve">GDP per capita</t>
  </si>
  <si>
    <t xml:space="preserve">Metro GDP divided by population</t>
  </si>
  <si>
    <t xml:space="preserve">USD PPP</t>
  </si>
  <si>
    <t xml:space="preserve">OECD Metro DB</t>
  </si>
  <si>
    <t xml:space="preserve">GPCI (Economy)</t>
  </si>
  <si>
    <t xml:space="preserve">Strong for OECD</t>
  </si>
  <si>
    <t xml:space="preserve">CMP-02</t>
  </si>
  <si>
    <t xml:space="preserve">Labour productivity</t>
  </si>
  <si>
    <t xml:space="preserve">Gross value added per worker</t>
  </si>
  <si>
    <t xml:space="preserve">USD</t>
  </si>
  <si>
    <t xml:space="preserve">OECD</t>
  </si>
  <si>
    <t xml:space="preserve">CMP-03</t>
  </si>
  <si>
    <t xml:space="preserve">Business Environment</t>
  </si>
  <si>
    <t xml:space="preserve">Global firm presence</t>
  </si>
  <si>
    <t xml:space="preserve">Number of major global-firm HQs</t>
  </si>
  <si>
    <t xml:space="preserve">count</t>
  </si>
  <si>
    <t xml:space="preserve">GPCI / Fortune</t>
  </si>
  <si>
    <t xml:space="preserve">CMP-04</t>
  </si>
  <si>
    <t xml:space="preserve">Startup density</t>
  </si>
  <si>
    <t xml:space="preserve">Startups per 100,000 residents</t>
  </si>
  <si>
    <t xml:space="preserve">Dealroom / Startup Genome</t>
  </si>
  <si>
    <t xml:space="preserve">GPCI-Startup</t>
  </si>
  <si>
    <t xml:space="preserve">CMP-05</t>
  </si>
  <si>
    <t xml:space="preserve">Dynamism</t>
  </si>
  <si>
    <t xml:space="preserve">Employment growth</t>
  </si>
  <si>
    <t xml:space="preserve">5-year change in metro employment</t>
  </si>
  <si>
    <t xml:space="preserve">CMP-06</t>
  </si>
  <si>
    <t xml:space="preserve">VC funding</t>
  </si>
  <si>
    <t xml:space="preserve">Venture capital raised per capita</t>
  </si>
  <si>
    <t xml:space="preserve">Dealroom / PitchBook</t>
  </si>
  <si>
    <t xml:space="preserve">Startup Genome</t>
  </si>
  <si>
    <t xml:space="preserve">Some sources behind paywalls</t>
  </si>
  <si>
    <t xml:space="preserve">TAL-01</t>
  </si>
  <si>
    <t xml:space="preserve">Education</t>
  </si>
  <si>
    <t xml:space="preserve">Tertiary attainment</t>
  </si>
  <si>
    <t xml:space="preserve">% of adults with tertiary education</t>
  </si>
  <si>
    <t xml:space="preserve">OECD / Eurostat</t>
  </si>
  <si>
    <t xml:space="preserve">TAL-02</t>
  </si>
  <si>
    <t xml:space="preserve">Top universities</t>
  </si>
  <si>
    <t xml:space="preserve">Universities in the global top 500</t>
  </si>
  <si>
    <t xml:space="preserve">QS / THE rankings</t>
  </si>
  <si>
    <t xml:space="preserve">GPCI (R&amp;D)</t>
  </si>
  <si>
    <t xml:space="preserve">Easy to source</t>
  </si>
  <si>
    <t xml:space="preserve">TAL-03</t>
  </si>
  <si>
    <t xml:space="preserve">Skills &amp; Workforce</t>
  </si>
  <si>
    <t xml:space="preserve">Knowledge workers</t>
  </si>
  <si>
    <t xml:space="preserve">% employed in knowledge-intensive jobs</t>
  </si>
  <si>
    <t xml:space="preserve">Eurostat / OECD</t>
  </si>
  <si>
    <t xml:space="preserve">TAL-04</t>
  </si>
  <si>
    <t xml:space="preserve">Researchers per capita</t>
  </si>
  <si>
    <t xml:space="preserve">R&amp;D personnel per 1,000</t>
  </si>
  <si>
    <t xml:space="preserve">TAL-05</t>
  </si>
  <si>
    <t xml:space="preserve">Attractiveness</t>
  </si>
  <si>
    <t xml:space="preserve">Talent inflow</t>
  </si>
  <si>
    <t xml:space="preserve">Net migration of working-age people</t>
  </si>
  <si>
    <t xml:space="preserve">National statistics</t>
  </si>
  <si>
    <t xml:space="preserve">Hard to standardise across countries</t>
  </si>
  <si>
    <t xml:space="preserve">TAL-06</t>
  </si>
  <si>
    <t xml:space="preserve">International openness</t>
  </si>
  <si>
    <t xml:space="preserve">Foreign-born population share</t>
  </si>
  <si>
    <t xml:space="preserve">GPCI</t>
  </si>
  <si>
    <t xml:space="preserve">A proxy for openness — contestable</t>
  </si>
  <si>
    <t xml:space="preserve">CON-01</t>
  </si>
  <si>
    <t xml:space="preserve">Global Connectivity</t>
  </si>
  <si>
    <t xml:space="preserve">Airport connectivity</t>
  </si>
  <si>
    <t xml:space="preserve">Direct international destinations served</t>
  </si>
  <si>
    <t xml:space="preserve">OAG / GPCI</t>
  </si>
  <si>
    <t xml:space="preserve">GPCI (Accessibility)</t>
  </si>
  <si>
    <t xml:space="preserve">Well covered</t>
  </si>
  <si>
    <t xml:space="preserve">CON-02</t>
  </si>
  <si>
    <t xml:space="preserve">Global accessibility</t>
  </si>
  <si>
    <t xml:space="preserve">Travel time to major world hubs</t>
  </si>
  <si>
    <t xml:space="preserve">hours</t>
  </si>
  <si>
    <t xml:space="preserve">CON-03</t>
  </si>
  <si>
    <t xml:space="preserve">Urban Mobility</t>
  </si>
  <si>
    <t xml:space="preserve">Transit access</t>
  </si>
  <si>
    <t xml:space="preserve">% residents near frequent public transit</t>
  </si>
  <si>
    <t xml:space="preserve">UITP / WCCD</t>
  </si>
  <si>
    <t xml:space="preserve">CON-04</t>
  </si>
  <si>
    <t xml:space="preserve">Commute time</t>
  </si>
  <si>
    <t xml:space="preserve">Average one-way commute</t>
  </si>
  <si>
    <t xml:space="preserve">minutes</t>
  </si>
  <si>
    <t xml:space="preserve">Numbeo / Moovit</t>
  </si>
  <si>
    <t xml:space="preserve">CON-05</t>
  </si>
  <si>
    <t xml:space="preserve">Traffic congestion</t>
  </si>
  <si>
    <t xml:space="preserve">Extra travel time caused by congestion</t>
  </si>
  <si>
    <t xml:space="preserve">TomTom Traffic Index</t>
  </si>
  <si>
    <t xml:space="preserve">Great free annual data</t>
  </si>
  <si>
    <t xml:space="preserve">The Engine — default rules</t>
  </si>
  <si>
    <t xml:space="preserve">These are the defaults the app runs. Every one can be a user setting later.</t>
  </si>
  <si>
    <t xml:space="preserve">Same-scale step</t>
  </si>
  <si>
    <t xml:space="preserve">Min-max to 0–100 across the chosen cities. Score = (value − min) ÷ (max − min) × 100. For 'lower = better' variables, flip it: (max − value) ÷ (max − min) × 100.</t>
  </si>
  <si>
    <t xml:space="preserve">Taken from the catalog's Direction column. The engine flips 'lower = better' automatically so a higher score always means better.</t>
  </si>
  <si>
    <t xml:space="preserve">Roll-up</t>
  </si>
  <si>
    <t xml:space="preserve">Average the variable scores into a sub-theme score, sub-themes into a domain score, domains into the composite. Default weights are equal at every layer.</t>
  </si>
  <si>
    <t xml:space="preserve">Weights</t>
  </si>
  <si>
    <t xml:space="preserve">Equal by default. Users can override at any layer (sliders). Show weights as % that always sum to 100 within a layer.</t>
  </si>
  <si>
    <t xml:space="preserve">Combine method</t>
  </si>
  <si>
    <t xml:space="preserve">Additive (weighted average) by default. Offer geometric as a toggle — it penalises lopsided cities and reduces one great score hiding a bad one.</t>
  </si>
  <si>
    <t xml:space="preserve">Missing data</t>
  </si>
  <si>
    <t xml:space="preserve">Show each city's coverage %. Default: if a city lacks a variable, drop that variable from that run for all cities (fairest). Alternative: fill with the sub-theme average.</t>
  </si>
  <si>
    <t xml:space="preserve">Robustness view</t>
  </si>
  <si>
    <t xml:space="preserve">On any change, recompute and show how each city's rank shifted (▲▼ and places moved). This is what separates an honest tool from a black box.</t>
  </si>
  <si>
    <t xml:space="preserve">Provenance</t>
  </si>
  <si>
    <t xml:space="preserve">Every score traces back to source + year via the catalog. Always let the user click a number to see where it came from.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</si>
</sst>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222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color rgb="FF22222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555555"/>
      </patternFill>
    </fill>
    <fill>
      <patternFill patternType="solid">
        <fgColor rgb="FFFDE9D9"/>
        <bgColor rgb="FFFCE4E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DE7F6"/>
      </patternFill>
    </fill>
    <fill>
      <patternFill patternType="solid">
        <fgColor rgb="FFFCE4EC"/>
        <bgColor rgb="FFFDE9D9"/>
      </patternFill>
    </fill>
    <fill>
      <patternFill patternType="solid">
        <fgColor rgb="FFFFF2CC"/>
        <bgColor rgb="FFFDE9D9"/>
      </patternFill>
    </fill>
    <fill>
      <patternFill patternType="solid">
        <fgColor rgb="FFEDE7F6"/>
        <bgColor rgb="FFFCE4E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EDE7F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9D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2" t="s">
        <v>4</v>
      </c>
    </row>
    <row r="9" customFormat="false" ht="15" hidden="false" customHeight="false" outlineLevel="0" collapsed="false">
      <c r="B9" s="3" t="s">
        <v>5</v>
      </c>
    </row>
    <row r="10" customFormat="false" ht="42" hidden="false" customHeight="true" outlineLevel="0" collapsed="false">
      <c r="B10" s="5" t="s">
        <v>6</v>
      </c>
      <c r="C10" s="6" t="s">
        <v>7</v>
      </c>
      <c r="D10" s="6"/>
      <c r="E10" s="6"/>
      <c r="F10" s="6"/>
    </row>
    <row r="11" customFormat="false" ht="42" hidden="false" customHeight="true" outlineLevel="0" collapsed="false">
      <c r="B11" s="5" t="s">
        <v>8</v>
      </c>
      <c r="C11" s="6" t="s">
        <v>9</v>
      </c>
      <c r="D11" s="6"/>
      <c r="E11" s="6"/>
      <c r="F11" s="6"/>
    </row>
    <row r="12" customFormat="false" ht="42" hidden="false" customHeight="true" outlineLevel="0" collapsed="false">
      <c r="B12" s="5" t="s">
        <v>10</v>
      </c>
      <c r="C12" s="6" t="s">
        <v>11</v>
      </c>
      <c r="D12" s="6"/>
      <c r="E12" s="6"/>
      <c r="F12" s="6"/>
    </row>
    <row r="13" customFormat="false" ht="42" hidden="false" customHeight="true" outlineLevel="0" collapsed="false">
      <c r="B13" s="5" t="s">
        <v>12</v>
      </c>
      <c r="C13" s="6" t="s">
        <v>13</v>
      </c>
      <c r="D13" s="6"/>
      <c r="E13" s="6"/>
      <c r="F13" s="6"/>
    </row>
    <row r="14" customFormat="false" ht="42" hidden="false" customHeight="true" outlineLevel="0" collapsed="false">
      <c r="B14" s="5" t="s">
        <v>14</v>
      </c>
      <c r="C14" s="6" t="s">
        <v>15</v>
      </c>
      <c r="D14" s="6"/>
      <c r="E14" s="6"/>
      <c r="F14" s="6"/>
    </row>
    <row r="16" customFormat="false" ht="15" hidden="false" customHeight="false" outlineLevel="0" collapsed="false">
      <c r="B16" s="3" t="s">
        <v>16</v>
      </c>
    </row>
    <row r="17" customFormat="false" ht="30" hidden="false" customHeight="true" outlineLevel="0" collapsed="false">
      <c r="B17" s="5" t="s">
        <v>17</v>
      </c>
      <c r="C17" s="6" t="s">
        <v>18</v>
      </c>
      <c r="D17" s="6"/>
      <c r="E17" s="6"/>
      <c r="F17" s="6"/>
    </row>
    <row r="18" customFormat="false" ht="30" hidden="false" customHeight="true" outlineLevel="0" collapsed="false">
      <c r="B18" s="5" t="s">
        <v>19</v>
      </c>
      <c r="C18" s="6" t="s">
        <v>20</v>
      </c>
      <c r="D18" s="6"/>
      <c r="E18" s="6"/>
      <c r="F18" s="6"/>
    </row>
    <row r="19" customFormat="false" ht="30" hidden="false" customHeight="true" outlineLevel="0" collapsed="false">
      <c r="B19" s="5" t="s">
        <v>21</v>
      </c>
      <c r="C19" s="6" t="s">
        <v>22</v>
      </c>
      <c r="D19" s="6"/>
      <c r="E19" s="6"/>
      <c r="F19" s="6"/>
    </row>
    <row r="21" customFormat="false" ht="15" hidden="false" customHeight="false" outlineLevel="0" collapsed="false">
      <c r="B21" s="3" t="s">
        <v>23</v>
      </c>
    </row>
    <row r="22" customFormat="false" ht="25.5" hidden="false" customHeight="true" outlineLevel="0" collapsed="false">
      <c r="B22" s="4" t="s">
        <v>24</v>
      </c>
      <c r="C22" s="6" t="s">
        <v>25</v>
      </c>
      <c r="D22" s="6"/>
      <c r="E22" s="6"/>
      <c r="F22" s="6"/>
    </row>
    <row r="23" customFormat="false" ht="25.5" hidden="false" customHeight="true" outlineLevel="0" collapsed="false">
      <c r="B23" s="4" t="s">
        <v>24</v>
      </c>
      <c r="C23" s="6" t="s">
        <v>26</v>
      </c>
      <c r="D23" s="6"/>
      <c r="E23" s="6"/>
      <c r="F23" s="6"/>
    </row>
    <row r="24" customFormat="false" ht="25.5" hidden="false" customHeight="true" outlineLevel="0" collapsed="false">
      <c r="B24" s="4" t="s">
        <v>24</v>
      </c>
      <c r="C24" s="6" t="s">
        <v>27</v>
      </c>
      <c r="D24" s="6"/>
      <c r="E24" s="6"/>
      <c r="F24" s="6"/>
    </row>
    <row r="25" customFormat="false" ht="25.5" hidden="false" customHeight="true" outlineLevel="0" collapsed="false">
      <c r="B25" s="4" t="s">
        <v>24</v>
      </c>
      <c r="C25" s="6" t="s">
        <v>28</v>
      </c>
      <c r="D25" s="6"/>
      <c r="E25" s="6"/>
      <c r="F25" s="6"/>
    </row>
    <row r="27" customFormat="false" ht="15" hidden="false" customHeight="false" outlineLevel="0" collapsed="false">
      <c r="B27" s="3" t="s">
        <v>29</v>
      </c>
    </row>
    <row r="28" customFormat="false" ht="15" hidden="false" customHeight="false" outlineLevel="0" collapsed="false">
      <c r="B28" s="7" t="s">
        <v>30</v>
      </c>
      <c r="C28" s="7" t="s">
        <v>31</v>
      </c>
      <c r="D28" s="7" t="s">
        <v>32</v>
      </c>
    </row>
    <row r="29" customFormat="false" ht="15" hidden="false" customHeight="false" outlineLevel="0" collapsed="false">
      <c r="B29" s="8" t="s">
        <v>33</v>
      </c>
      <c r="C29" s="9" t="n">
        <f aca="false">COUNTIF('Variable Catalog'!$B:$B,B29)</f>
        <v>8</v>
      </c>
      <c r="D29" s="9" t="n">
        <f aca="false">COUNTIFS('Variable Catalog'!$B:$B,B29,'Variable Catalog'!$K:$K,"Yes")</f>
        <v>4</v>
      </c>
    </row>
    <row r="30" customFormat="false" ht="15" hidden="false" customHeight="false" outlineLevel="0" collapsed="false">
      <c r="B30" s="10" t="s">
        <v>34</v>
      </c>
      <c r="C30" s="9" t="n">
        <f aca="false">COUNTIF('Variable Catalog'!$B:$B,B30)</f>
        <v>7</v>
      </c>
      <c r="D30" s="9" t="n">
        <f aca="false">COUNTIFS('Variable Catalog'!$B:$B,B30,'Variable Catalog'!$K:$K,"Yes")</f>
        <v>3</v>
      </c>
    </row>
    <row r="31" customFormat="false" ht="15" hidden="false" customHeight="false" outlineLevel="0" collapsed="false">
      <c r="B31" s="11" t="s">
        <v>35</v>
      </c>
      <c r="C31" s="9" t="n">
        <f aca="false">COUNTIF('Variable Catalog'!$B:$B,B31)</f>
        <v>6</v>
      </c>
      <c r="D31" s="9" t="n">
        <f aca="false">COUNTIFS('Variable Catalog'!$B:$B,B31,'Variable Catalog'!$K:$K,"Yes")</f>
        <v>3</v>
      </c>
    </row>
    <row r="32" customFormat="false" ht="15" hidden="false" customHeight="false" outlineLevel="0" collapsed="false">
      <c r="B32" s="12" t="s">
        <v>36</v>
      </c>
      <c r="C32" s="9" t="n">
        <f aca="false">COUNTIF('Variable Catalog'!$B:$B,B32)</f>
        <v>6</v>
      </c>
      <c r="D32" s="9" t="n">
        <f aca="false">COUNTIFS('Variable Catalog'!$B:$B,B32,'Variable Catalog'!$K:$K,"Yes")</f>
        <v>3</v>
      </c>
    </row>
    <row r="33" customFormat="false" ht="15" hidden="false" customHeight="false" outlineLevel="0" collapsed="false">
      <c r="B33" s="13" t="s">
        <v>37</v>
      </c>
      <c r="C33" s="9" t="n">
        <f aca="false">COUNTIF('Variable Catalog'!$B:$B,B33)</f>
        <v>6</v>
      </c>
      <c r="D33" s="9" t="n">
        <f aca="false">COUNTIFS('Variable Catalog'!$B:$B,B33,'Variable Catalog'!$K:$K,"Yes")</f>
        <v>3</v>
      </c>
    </row>
    <row r="34" customFormat="false" ht="15" hidden="false" customHeight="false" outlineLevel="0" collapsed="false">
      <c r="B34" s="14" t="s">
        <v>38</v>
      </c>
      <c r="C34" s="9" t="n">
        <f aca="false">COUNTIF('Variable Catalog'!$B:$B,B34)</f>
        <v>5</v>
      </c>
      <c r="D34" s="9" t="n">
        <f aca="false">COUNTIFS('Variable Catalog'!$B:$B,B34,'Variable Catalog'!$K:$K,"Yes")</f>
        <v>3</v>
      </c>
    </row>
    <row r="35" customFormat="false" ht="15" hidden="false" customHeight="false" outlineLevel="0" collapsed="false">
      <c r="B35" s="15" t="s">
        <v>39</v>
      </c>
      <c r="C35" s="16" t="n">
        <f aca="false">SUM(C29:C34)</f>
        <v>38</v>
      </c>
      <c r="D35" s="16" t="n">
        <f aca="false">SUM(D29:D34)</f>
        <v>19</v>
      </c>
    </row>
  </sheetData>
  <mergeCells count="12">
    <mergeCell ref="C10:F10"/>
    <mergeCell ref="C11:F11"/>
    <mergeCell ref="C12:F12"/>
    <mergeCell ref="C13:F13"/>
    <mergeCell ref="C14:F14"/>
    <mergeCell ref="C17:F17"/>
    <mergeCell ref="C18:F18"/>
    <mergeCell ref="C19:F19"/>
    <mergeCell ref="C22:F22"/>
    <mergeCell ref="C23:F23"/>
    <mergeCell ref="C24:F24"/>
    <mergeCell ref="C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4"/>
    <col collapsed="false" customWidth="true" hidden="false" outlineLevel="0" max="11" min="11" style="0" width="9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7" t="s">
        <v>40</v>
      </c>
      <c r="B1" s="7" t="s">
        <v>30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</row>
    <row r="2" customFormat="false" ht="23.85" hidden="false" customHeight="false" outlineLevel="0" collapsed="false">
      <c r="A2" s="17" t="s">
        <v>51</v>
      </c>
      <c r="B2" s="18" t="s">
        <v>33</v>
      </c>
      <c r="C2" s="17" t="s">
        <v>52</v>
      </c>
      <c r="D2" s="17" t="s">
        <v>53</v>
      </c>
      <c r="E2" s="17" t="s">
        <v>54</v>
      </c>
      <c r="F2" s="17" t="s">
        <v>55</v>
      </c>
      <c r="G2" s="9" t="s">
        <v>56</v>
      </c>
      <c r="H2" s="9" t="s">
        <v>57</v>
      </c>
      <c r="I2" s="17" t="s">
        <v>58</v>
      </c>
      <c r="J2" s="17" t="s">
        <v>59</v>
      </c>
      <c r="K2" s="19" t="s">
        <v>60</v>
      </c>
      <c r="L2" s="17" t="s">
        <v>61</v>
      </c>
    </row>
    <row r="3" customFormat="false" ht="15" hidden="false" customHeight="false" outlineLevel="0" collapsed="false">
      <c r="A3" s="17" t="s">
        <v>62</v>
      </c>
      <c r="B3" s="18" t="s">
        <v>33</v>
      </c>
      <c r="C3" s="17" t="s">
        <v>52</v>
      </c>
      <c r="D3" s="17" t="s">
        <v>63</v>
      </c>
      <c r="E3" s="17" t="s">
        <v>64</v>
      </c>
      <c r="F3" s="17" t="s">
        <v>65</v>
      </c>
      <c r="G3" s="9" t="s">
        <v>66</v>
      </c>
      <c r="H3" s="9" t="s">
        <v>57</v>
      </c>
      <c r="I3" s="17" t="s">
        <v>67</v>
      </c>
      <c r="J3" s="17" t="s">
        <v>68</v>
      </c>
      <c r="K3" s="9"/>
      <c r="L3" s="17" t="s">
        <v>69</v>
      </c>
    </row>
    <row r="4" customFormat="false" ht="15" hidden="false" customHeight="false" outlineLevel="0" collapsed="false">
      <c r="A4" s="17" t="s">
        <v>70</v>
      </c>
      <c r="B4" s="18" t="s">
        <v>33</v>
      </c>
      <c r="C4" s="17" t="s">
        <v>52</v>
      </c>
      <c r="D4" s="17" t="s">
        <v>71</v>
      </c>
      <c r="E4" s="17" t="s">
        <v>72</v>
      </c>
      <c r="F4" s="17" t="s">
        <v>73</v>
      </c>
      <c r="G4" s="9" t="s">
        <v>66</v>
      </c>
      <c r="H4" s="9" t="s">
        <v>74</v>
      </c>
      <c r="I4" s="17" t="s">
        <v>75</v>
      </c>
      <c r="J4" s="17" t="s">
        <v>59</v>
      </c>
      <c r="K4" s="9"/>
      <c r="L4" s="17" t="s">
        <v>76</v>
      </c>
    </row>
    <row r="5" customFormat="false" ht="15" hidden="false" customHeight="false" outlineLevel="0" collapsed="false">
      <c r="A5" s="17" t="s">
        <v>77</v>
      </c>
      <c r="B5" s="18" t="s">
        <v>33</v>
      </c>
      <c r="C5" s="17" t="s">
        <v>78</v>
      </c>
      <c r="D5" s="17" t="s">
        <v>79</v>
      </c>
      <c r="E5" s="17" t="s">
        <v>80</v>
      </c>
      <c r="F5" s="17" t="s">
        <v>81</v>
      </c>
      <c r="G5" s="9" t="s">
        <v>66</v>
      </c>
      <c r="H5" s="9" t="s">
        <v>82</v>
      </c>
      <c r="I5" s="17" t="s">
        <v>83</v>
      </c>
      <c r="J5" s="17" t="s">
        <v>84</v>
      </c>
      <c r="K5" s="19" t="s">
        <v>60</v>
      </c>
      <c r="L5" s="17" t="s">
        <v>85</v>
      </c>
    </row>
    <row r="6" customFormat="false" ht="15" hidden="false" customHeight="false" outlineLevel="0" collapsed="false">
      <c r="A6" s="17" t="s">
        <v>86</v>
      </c>
      <c r="B6" s="18" t="s">
        <v>33</v>
      </c>
      <c r="C6" s="17" t="s">
        <v>78</v>
      </c>
      <c r="D6" s="17" t="s">
        <v>87</v>
      </c>
      <c r="E6" s="17" t="s">
        <v>88</v>
      </c>
      <c r="F6" s="17" t="s">
        <v>89</v>
      </c>
      <c r="G6" s="9" t="s">
        <v>66</v>
      </c>
      <c r="H6" s="9" t="s">
        <v>82</v>
      </c>
      <c r="I6" s="17" t="s">
        <v>90</v>
      </c>
      <c r="J6" s="17" t="s">
        <v>91</v>
      </c>
      <c r="K6" s="19" t="s">
        <v>60</v>
      </c>
      <c r="L6" s="17"/>
    </row>
    <row r="7" customFormat="false" ht="23.85" hidden="false" customHeight="false" outlineLevel="0" collapsed="false">
      <c r="A7" s="17" t="s">
        <v>92</v>
      </c>
      <c r="B7" s="18" t="s">
        <v>33</v>
      </c>
      <c r="C7" s="17" t="s">
        <v>93</v>
      </c>
      <c r="D7" s="17" t="s">
        <v>94</v>
      </c>
      <c r="E7" s="17" t="s">
        <v>95</v>
      </c>
      <c r="F7" s="17" t="s">
        <v>96</v>
      </c>
      <c r="G7" s="9" t="s">
        <v>56</v>
      </c>
      <c r="H7" s="9" t="s">
        <v>57</v>
      </c>
      <c r="I7" s="17" t="s">
        <v>97</v>
      </c>
      <c r="J7" s="17" t="s">
        <v>68</v>
      </c>
      <c r="K7" s="19" t="s">
        <v>60</v>
      </c>
      <c r="L7" s="17" t="s">
        <v>98</v>
      </c>
    </row>
    <row r="8" customFormat="false" ht="23.85" hidden="false" customHeight="false" outlineLevel="0" collapsed="false">
      <c r="A8" s="17" t="s">
        <v>99</v>
      </c>
      <c r="B8" s="18" t="s">
        <v>33</v>
      </c>
      <c r="C8" s="17" t="s">
        <v>93</v>
      </c>
      <c r="D8" s="17" t="s">
        <v>100</v>
      </c>
      <c r="E8" s="17" t="s">
        <v>101</v>
      </c>
      <c r="F8" s="17" t="s">
        <v>73</v>
      </c>
      <c r="G8" s="9" t="s">
        <v>56</v>
      </c>
      <c r="H8" s="9" t="s">
        <v>57</v>
      </c>
      <c r="I8" s="17" t="s">
        <v>102</v>
      </c>
      <c r="J8" s="17" t="s">
        <v>103</v>
      </c>
      <c r="K8" s="9"/>
      <c r="L8" s="17" t="s">
        <v>104</v>
      </c>
    </row>
    <row r="9" customFormat="false" ht="15" hidden="false" customHeight="false" outlineLevel="0" collapsed="false">
      <c r="A9" s="17" t="s">
        <v>105</v>
      </c>
      <c r="B9" s="18" t="s">
        <v>33</v>
      </c>
      <c r="C9" s="17" t="s">
        <v>106</v>
      </c>
      <c r="D9" s="17" t="s">
        <v>107</v>
      </c>
      <c r="E9" s="17" t="s">
        <v>108</v>
      </c>
      <c r="F9" s="17" t="s">
        <v>55</v>
      </c>
      <c r="G9" s="9" t="s">
        <v>66</v>
      </c>
      <c r="H9" s="9" t="s">
        <v>57</v>
      </c>
      <c r="I9" s="17" t="s">
        <v>109</v>
      </c>
      <c r="J9" s="17" t="s">
        <v>110</v>
      </c>
      <c r="K9" s="9"/>
      <c r="L9" s="17" t="s">
        <v>111</v>
      </c>
    </row>
    <row r="10" customFormat="false" ht="15" hidden="false" customHeight="false" outlineLevel="0" collapsed="false">
      <c r="A10" s="17" t="s">
        <v>112</v>
      </c>
      <c r="B10" s="20" t="s">
        <v>34</v>
      </c>
      <c r="C10" s="17" t="s">
        <v>113</v>
      </c>
      <c r="D10" s="17" t="s">
        <v>114</v>
      </c>
      <c r="E10" s="17" t="s">
        <v>115</v>
      </c>
      <c r="F10" s="17" t="s">
        <v>116</v>
      </c>
      <c r="G10" s="9" t="s">
        <v>56</v>
      </c>
      <c r="H10" s="9" t="s">
        <v>57</v>
      </c>
      <c r="I10" s="17" t="s">
        <v>117</v>
      </c>
      <c r="J10" s="17" t="s">
        <v>118</v>
      </c>
      <c r="K10" s="19" t="s">
        <v>60</v>
      </c>
      <c r="L10" s="17" t="s">
        <v>119</v>
      </c>
    </row>
    <row r="11" customFormat="false" ht="15" hidden="false" customHeight="false" outlineLevel="0" collapsed="false">
      <c r="A11" s="17" t="s">
        <v>120</v>
      </c>
      <c r="B11" s="20" t="s">
        <v>34</v>
      </c>
      <c r="C11" s="17" t="s">
        <v>113</v>
      </c>
      <c r="D11" s="17" t="s">
        <v>121</v>
      </c>
      <c r="E11" s="17" t="s">
        <v>122</v>
      </c>
      <c r="F11" s="17" t="s">
        <v>123</v>
      </c>
      <c r="G11" s="9" t="s">
        <v>66</v>
      </c>
      <c r="H11" s="9" t="s">
        <v>57</v>
      </c>
      <c r="I11" s="17" t="s">
        <v>124</v>
      </c>
      <c r="J11" s="17" t="s">
        <v>68</v>
      </c>
      <c r="K11" s="19" t="s">
        <v>60</v>
      </c>
      <c r="L11" s="17" t="s">
        <v>125</v>
      </c>
    </row>
    <row r="12" customFormat="false" ht="15" hidden="false" customHeight="false" outlineLevel="0" collapsed="false">
      <c r="A12" s="17" t="s">
        <v>126</v>
      </c>
      <c r="B12" s="20" t="s">
        <v>34</v>
      </c>
      <c r="C12" s="17" t="s">
        <v>127</v>
      </c>
      <c r="D12" s="17" t="s">
        <v>128</v>
      </c>
      <c r="E12" s="17" t="s">
        <v>129</v>
      </c>
      <c r="F12" s="17" t="s">
        <v>130</v>
      </c>
      <c r="G12" s="9" t="s">
        <v>56</v>
      </c>
      <c r="H12" s="9" t="s">
        <v>57</v>
      </c>
      <c r="I12" s="17" t="s">
        <v>131</v>
      </c>
      <c r="J12" s="17" t="s">
        <v>68</v>
      </c>
      <c r="K12" s="9"/>
      <c r="L12" s="17" t="s">
        <v>132</v>
      </c>
    </row>
    <row r="13" customFormat="false" ht="23.85" hidden="false" customHeight="false" outlineLevel="0" collapsed="false">
      <c r="A13" s="17" t="s">
        <v>133</v>
      </c>
      <c r="B13" s="20" t="s">
        <v>34</v>
      </c>
      <c r="C13" s="17" t="s">
        <v>127</v>
      </c>
      <c r="D13" s="17" t="s">
        <v>134</v>
      </c>
      <c r="E13" s="17" t="s">
        <v>135</v>
      </c>
      <c r="F13" s="17" t="s">
        <v>123</v>
      </c>
      <c r="G13" s="9" t="s">
        <v>66</v>
      </c>
      <c r="H13" s="9" t="s">
        <v>57</v>
      </c>
      <c r="I13" s="17" t="s">
        <v>136</v>
      </c>
      <c r="J13" s="17" t="s">
        <v>68</v>
      </c>
      <c r="K13" s="9"/>
      <c r="L13" s="17" t="s">
        <v>137</v>
      </c>
    </row>
    <row r="14" customFormat="false" ht="15" hidden="false" customHeight="false" outlineLevel="0" collapsed="false">
      <c r="A14" s="17" t="s">
        <v>138</v>
      </c>
      <c r="B14" s="20" t="s">
        <v>34</v>
      </c>
      <c r="C14" s="17" t="s">
        <v>139</v>
      </c>
      <c r="D14" s="17" t="s">
        <v>140</v>
      </c>
      <c r="E14" s="17" t="s">
        <v>141</v>
      </c>
      <c r="F14" s="17" t="s">
        <v>123</v>
      </c>
      <c r="G14" s="9" t="s">
        <v>66</v>
      </c>
      <c r="H14" s="9" t="s">
        <v>57</v>
      </c>
      <c r="I14" s="17" t="s">
        <v>136</v>
      </c>
      <c r="J14" s="17" t="s">
        <v>68</v>
      </c>
      <c r="K14" s="19" t="s">
        <v>60</v>
      </c>
      <c r="L14" s="17"/>
    </row>
    <row r="15" customFormat="false" ht="15" hidden="false" customHeight="false" outlineLevel="0" collapsed="false">
      <c r="A15" s="17" t="s">
        <v>142</v>
      </c>
      <c r="B15" s="20" t="s">
        <v>34</v>
      </c>
      <c r="C15" s="17" t="s">
        <v>139</v>
      </c>
      <c r="D15" s="17" t="s">
        <v>143</v>
      </c>
      <c r="E15" s="17" t="s">
        <v>144</v>
      </c>
      <c r="F15" s="17" t="s">
        <v>145</v>
      </c>
      <c r="G15" s="9" t="s">
        <v>56</v>
      </c>
      <c r="H15" s="9" t="s">
        <v>57</v>
      </c>
      <c r="I15" s="17" t="s">
        <v>146</v>
      </c>
      <c r="J15" s="17" t="s">
        <v>68</v>
      </c>
      <c r="K15" s="9"/>
      <c r="L15" s="17"/>
    </row>
    <row r="16" customFormat="false" ht="23.85" hidden="false" customHeight="false" outlineLevel="0" collapsed="false">
      <c r="A16" s="17" t="s">
        <v>147</v>
      </c>
      <c r="B16" s="20" t="s">
        <v>34</v>
      </c>
      <c r="C16" s="17" t="s">
        <v>148</v>
      </c>
      <c r="D16" s="17" t="s">
        <v>149</v>
      </c>
      <c r="E16" s="17" t="s">
        <v>150</v>
      </c>
      <c r="F16" s="17" t="s">
        <v>73</v>
      </c>
      <c r="G16" s="9" t="s">
        <v>56</v>
      </c>
      <c r="H16" s="9" t="s">
        <v>57</v>
      </c>
      <c r="I16" s="17" t="s">
        <v>151</v>
      </c>
      <c r="J16" s="17" t="s">
        <v>68</v>
      </c>
      <c r="K16" s="9"/>
      <c r="L16" s="17" t="s">
        <v>152</v>
      </c>
    </row>
    <row r="17" customFormat="false" ht="15" hidden="false" customHeight="false" outlineLevel="0" collapsed="false">
      <c r="A17" s="17" t="s">
        <v>153</v>
      </c>
      <c r="B17" s="21" t="s">
        <v>35</v>
      </c>
      <c r="C17" s="17" t="s">
        <v>154</v>
      </c>
      <c r="D17" s="17" t="s">
        <v>155</v>
      </c>
      <c r="E17" s="17" t="s">
        <v>156</v>
      </c>
      <c r="F17" s="17" t="s">
        <v>157</v>
      </c>
      <c r="G17" s="9" t="s">
        <v>66</v>
      </c>
      <c r="H17" s="9" t="s">
        <v>57</v>
      </c>
      <c r="I17" s="17" t="s">
        <v>158</v>
      </c>
      <c r="J17" s="17" t="s">
        <v>159</v>
      </c>
      <c r="K17" s="19" t="s">
        <v>60</v>
      </c>
      <c r="L17" s="17" t="s">
        <v>160</v>
      </c>
    </row>
    <row r="18" customFormat="false" ht="15" hidden="false" customHeight="false" outlineLevel="0" collapsed="false">
      <c r="A18" s="17" t="s">
        <v>161</v>
      </c>
      <c r="B18" s="21" t="s">
        <v>35</v>
      </c>
      <c r="C18" s="17" t="s">
        <v>154</v>
      </c>
      <c r="D18" s="17" t="s">
        <v>162</v>
      </c>
      <c r="E18" s="17" t="s">
        <v>163</v>
      </c>
      <c r="F18" s="17" t="s">
        <v>123</v>
      </c>
      <c r="G18" s="9" t="s">
        <v>66</v>
      </c>
      <c r="H18" s="9" t="s">
        <v>82</v>
      </c>
      <c r="I18" s="17" t="s">
        <v>164</v>
      </c>
      <c r="J18" s="17" t="s">
        <v>68</v>
      </c>
      <c r="K18" s="9"/>
      <c r="L18" s="17"/>
    </row>
    <row r="19" customFormat="false" ht="15" hidden="false" customHeight="false" outlineLevel="0" collapsed="false">
      <c r="A19" s="17" t="s">
        <v>165</v>
      </c>
      <c r="B19" s="21" t="s">
        <v>35</v>
      </c>
      <c r="C19" s="17" t="s">
        <v>166</v>
      </c>
      <c r="D19" s="17" t="s">
        <v>167</v>
      </c>
      <c r="E19" s="17" t="s">
        <v>168</v>
      </c>
      <c r="F19" s="17" t="s">
        <v>73</v>
      </c>
      <c r="G19" s="9" t="s">
        <v>66</v>
      </c>
      <c r="H19" s="9" t="s">
        <v>57</v>
      </c>
      <c r="I19" s="17" t="s">
        <v>169</v>
      </c>
      <c r="J19" s="17" t="s">
        <v>159</v>
      </c>
      <c r="K19" s="19" t="s">
        <v>60</v>
      </c>
      <c r="L19" s="17" t="s">
        <v>170</v>
      </c>
    </row>
    <row r="20" customFormat="false" ht="15" hidden="false" customHeight="false" outlineLevel="0" collapsed="false">
      <c r="A20" s="17" t="s">
        <v>171</v>
      </c>
      <c r="B20" s="21" t="s">
        <v>35</v>
      </c>
      <c r="C20" s="17" t="s">
        <v>166</v>
      </c>
      <c r="D20" s="17" t="s">
        <v>172</v>
      </c>
      <c r="E20" s="17" t="s">
        <v>173</v>
      </c>
      <c r="F20" s="17" t="s">
        <v>73</v>
      </c>
      <c r="G20" s="9" t="s">
        <v>66</v>
      </c>
      <c r="H20" s="9" t="s">
        <v>57</v>
      </c>
      <c r="I20" s="17" t="s">
        <v>174</v>
      </c>
      <c r="J20" s="17" t="s">
        <v>68</v>
      </c>
      <c r="K20" s="9"/>
      <c r="L20" s="17"/>
    </row>
    <row r="21" customFormat="false" ht="15" hidden="false" customHeight="false" outlineLevel="0" collapsed="false">
      <c r="A21" s="17" t="s">
        <v>175</v>
      </c>
      <c r="B21" s="21" t="s">
        <v>35</v>
      </c>
      <c r="C21" s="17" t="s">
        <v>176</v>
      </c>
      <c r="D21" s="17" t="s">
        <v>177</v>
      </c>
      <c r="E21" s="17" t="s">
        <v>178</v>
      </c>
      <c r="F21" s="17" t="s">
        <v>123</v>
      </c>
      <c r="G21" s="9" t="s">
        <v>66</v>
      </c>
      <c r="H21" s="9" t="s">
        <v>74</v>
      </c>
      <c r="I21" s="17" t="s">
        <v>179</v>
      </c>
      <c r="J21" s="17" t="s">
        <v>68</v>
      </c>
      <c r="K21" s="19" t="s">
        <v>60</v>
      </c>
      <c r="L21" s="17" t="s">
        <v>180</v>
      </c>
    </row>
    <row r="22" customFormat="false" ht="15" hidden="false" customHeight="false" outlineLevel="0" collapsed="false">
      <c r="A22" s="17" t="s">
        <v>181</v>
      </c>
      <c r="B22" s="21" t="s">
        <v>35</v>
      </c>
      <c r="C22" s="17" t="s">
        <v>182</v>
      </c>
      <c r="D22" s="17" t="s">
        <v>183</v>
      </c>
      <c r="E22" s="17" t="s">
        <v>184</v>
      </c>
      <c r="F22" s="17" t="s">
        <v>73</v>
      </c>
      <c r="G22" s="9" t="s">
        <v>66</v>
      </c>
      <c r="H22" s="9" t="s">
        <v>57</v>
      </c>
      <c r="I22" s="17" t="s">
        <v>185</v>
      </c>
      <c r="J22" s="17" t="s">
        <v>159</v>
      </c>
      <c r="K22" s="9"/>
      <c r="L22" s="17" t="s">
        <v>186</v>
      </c>
    </row>
    <row r="23" customFormat="false" ht="15" hidden="false" customHeight="false" outlineLevel="0" collapsed="false">
      <c r="A23" s="17" t="s">
        <v>187</v>
      </c>
      <c r="B23" s="22" t="s">
        <v>36</v>
      </c>
      <c r="C23" s="17" t="s">
        <v>188</v>
      </c>
      <c r="D23" s="17" t="s">
        <v>189</v>
      </c>
      <c r="E23" s="17" t="s">
        <v>190</v>
      </c>
      <c r="F23" s="17" t="s">
        <v>191</v>
      </c>
      <c r="G23" s="9" t="s">
        <v>66</v>
      </c>
      <c r="H23" s="9" t="s">
        <v>82</v>
      </c>
      <c r="I23" s="17" t="s">
        <v>192</v>
      </c>
      <c r="J23" s="17" t="s">
        <v>193</v>
      </c>
      <c r="K23" s="19" t="s">
        <v>60</v>
      </c>
      <c r="L23" s="17" t="s">
        <v>194</v>
      </c>
    </row>
    <row r="24" customFormat="false" ht="15" hidden="false" customHeight="false" outlineLevel="0" collapsed="false">
      <c r="A24" s="17" t="s">
        <v>195</v>
      </c>
      <c r="B24" s="22" t="s">
        <v>36</v>
      </c>
      <c r="C24" s="17" t="s">
        <v>188</v>
      </c>
      <c r="D24" s="17" t="s">
        <v>196</v>
      </c>
      <c r="E24" s="17" t="s">
        <v>197</v>
      </c>
      <c r="F24" s="17" t="s">
        <v>198</v>
      </c>
      <c r="G24" s="9" t="s">
        <v>66</v>
      </c>
      <c r="H24" s="9" t="s">
        <v>82</v>
      </c>
      <c r="I24" s="17" t="s">
        <v>199</v>
      </c>
      <c r="J24" s="17" t="s">
        <v>68</v>
      </c>
      <c r="K24" s="9"/>
      <c r="L24" s="17"/>
    </row>
    <row r="25" customFormat="false" ht="23.85" hidden="false" customHeight="false" outlineLevel="0" collapsed="false">
      <c r="A25" s="17" t="s">
        <v>200</v>
      </c>
      <c r="B25" s="22" t="s">
        <v>36</v>
      </c>
      <c r="C25" s="17" t="s">
        <v>201</v>
      </c>
      <c r="D25" s="17" t="s">
        <v>202</v>
      </c>
      <c r="E25" s="17" t="s">
        <v>203</v>
      </c>
      <c r="F25" s="17" t="s">
        <v>204</v>
      </c>
      <c r="G25" s="9" t="s">
        <v>66</v>
      </c>
      <c r="H25" s="9" t="s">
        <v>57</v>
      </c>
      <c r="I25" s="17" t="s">
        <v>205</v>
      </c>
      <c r="J25" s="17" t="s">
        <v>193</v>
      </c>
      <c r="K25" s="9"/>
      <c r="L25" s="17"/>
    </row>
    <row r="26" customFormat="false" ht="23.85" hidden="false" customHeight="false" outlineLevel="0" collapsed="false">
      <c r="A26" s="17" t="s">
        <v>206</v>
      </c>
      <c r="B26" s="22" t="s">
        <v>36</v>
      </c>
      <c r="C26" s="17" t="s">
        <v>201</v>
      </c>
      <c r="D26" s="17" t="s">
        <v>207</v>
      </c>
      <c r="E26" s="17" t="s">
        <v>208</v>
      </c>
      <c r="F26" s="17" t="s">
        <v>55</v>
      </c>
      <c r="G26" s="9" t="s">
        <v>66</v>
      </c>
      <c r="H26" s="9" t="s">
        <v>57</v>
      </c>
      <c r="I26" s="17" t="s">
        <v>209</v>
      </c>
      <c r="J26" s="17" t="s">
        <v>210</v>
      </c>
      <c r="K26" s="19" t="s">
        <v>60</v>
      </c>
      <c r="L26" s="17"/>
    </row>
    <row r="27" customFormat="false" ht="15" hidden="false" customHeight="false" outlineLevel="0" collapsed="false">
      <c r="A27" s="17" t="s">
        <v>211</v>
      </c>
      <c r="B27" s="22" t="s">
        <v>36</v>
      </c>
      <c r="C27" s="17" t="s">
        <v>212</v>
      </c>
      <c r="D27" s="17" t="s">
        <v>213</v>
      </c>
      <c r="E27" s="17" t="s">
        <v>214</v>
      </c>
      <c r="F27" s="17" t="s">
        <v>123</v>
      </c>
      <c r="G27" s="9" t="s">
        <v>66</v>
      </c>
      <c r="H27" s="9" t="s">
        <v>82</v>
      </c>
      <c r="I27" s="17" t="s">
        <v>199</v>
      </c>
      <c r="J27" s="17" t="s">
        <v>68</v>
      </c>
      <c r="K27" s="9"/>
      <c r="L27" s="17"/>
    </row>
    <row r="28" customFormat="false" ht="15" hidden="false" customHeight="false" outlineLevel="0" collapsed="false">
      <c r="A28" s="17" t="s">
        <v>215</v>
      </c>
      <c r="B28" s="22" t="s">
        <v>36</v>
      </c>
      <c r="C28" s="17" t="s">
        <v>212</v>
      </c>
      <c r="D28" s="17" t="s">
        <v>216</v>
      </c>
      <c r="E28" s="17" t="s">
        <v>217</v>
      </c>
      <c r="F28" s="17" t="s">
        <v>198</v>
      </c>
      <c r="G28" s="9" t="s">
        <v>66</v>
      </c>
      <c r="H28" s="9" t="s">
        <v>57</v>
      </c>
      <c r="I28" s="17" t="s">
        <v>218</v>
      </c>
      <c r="J28" s="17" t="s">
        <v>219</v>
      </c>
      <c r="K28" s="19" t="s">
        <v>60</v>
      </c>
      <c r="L28" s="17" t="s">
        <v>220</v>
      </c>
    </row>
    <row r="29" customFormat="false" ht="15" hidden="false" customHeight="false" outlineLevel="0" collapsed="false">
      <c r="A29" s="17" t="s">
        <v>221</v>
      </c>
      <c r="B29" s="23" t="s">
        <v>37</v>
      </c>
      <c r="C29" s="17" t="s">
        <v>222</v>
      </c>
      <c r="D29" s="17" t="s">
        <v>223</v>
      </c>
      <c r="E29" s="17" t="s">
        <v>224</v>
      </c>
      <c r="F29" s="17" t="s">
        <v>123</v>
      </c>
      <c r="G29" s="9" t="s">
        <v>66</v>
      </c>
      <c r="H29" s="9" t="s">
        <v>82</v>
      </c>
      <c r="I29" s="17" t="s">
        <v>225</v>
      </c>
      <c r="J29" s="17" t="s">
        <v>68</v>
      </c>
      <c r="K29" s="19" t="s">
        <v>60</v>
      </c>
      <c r="L29" s="17"/>
    </row>
    <row r="30" customFormat="false" ht="15" hidden="false" customHeight="false" outlineLevel="0" collapsed="false">
      <c r="A30" s="17" t="s">
        <v>226</v>
      </c>
      <c r="B30" s="23" t="s">
        <v>37</v>
      </c>
      <c r="C30" s="17" t="s">
        <v>222</v>
      </c>
      <c r="D30" s="17" t="s">
        <v>227</v>
      </c>
      <c r="E30" s="17" t="s">
        <v>228</v>
      </c>
      <c r="F30" s="17" t="s">
        <v>204</v>
      </c>
      <c r="G30" s="9" t="s">
        <v>66</v>
      </c>
      <c r="H30" s="9" t="s">
        <v>57</v>
      </c>
      <c r="I30" s="17" t="s">
        <v>229</v>
      </c>
      <c r="J30" s="17" t="s">
        <v>230</v>
      </c>
      <c r="K30" s="19" t="s">
        <v>60</v>
      </c>
      <c r="L30" s="17" t="s">
        <v>231</v>
      </c>
    </row>
    <row r="31" customFormat="false" ht="15" hidden="false" customHeight="false" outlineLevel="0" collapsed="false">
      <c r="A31" s="17" t="s">
        <v>232</v>
      </c>
      <c r="B31" s="23" t="s">
        <v>37</v>
      </c>
      <c r="C31" s="17" t="s">
        <v>233</v>
      </c>
      <c r="D31" s="17" t="s">
        <v>234</v>
      </c>
      <c r="E31" s="17" t="s">
        <v>235</v>
      </c>
      <c r="F31" s="17" t="s">
        <v>123</v>
      </c>
      <c r="G31" s="9" t="s">
        <v>66</v>
      </c>
      <c r="H31" s="9" t="s">
        <v>82</v>
      </c>
      <c r="I31" s="17" t="s">
        <v>236</v>
      </c>
      <c r="J31" s="17" t="s">
        <v>68</v>
      </c>
      <c r="K31" s="9"/>
      <c r="L31" s="17"/>
    </row>
    <row r="32" customFormat="false" ht="15" hidden="false" customHeight="false" outlineLevel="0" collapsed="false">
      <c r="A32" s="17" t="s">
        <v>237</v>
      </c>
      <c r="B32" s="23" t="s">
        <v>37</v>
      </c>
      <c r="C32" s="17" t="s">
        <v>233</v>
      </c>
      <c r="D32" s="17" t="s">
        <v>238</v>
      </c>
      <c r="E32" s="17" t="s">
        <v>239</v>
      </c>
      <c r="F32" s="17" t="s">
        <v>89</v>
      </c>
      <c r="G32" s="9" t="s">
        <v>66</v>
      </c>
      <c r="H32" s="9" t="s">
        <v>82</v>
      </c>
      <c r="I32" s="17" t="s">
        <v>199</v>
      </c>
      <c r="J32" s="17" t="s">
        <v>230</v>
      </c>
      <c r="K32" s="9"/>
      <c r="L32" s="17"/>
    </row>
    <row r="33" customFormat="false" ht="15" hidden="false" customHeight="false" outlineLevel="0" collapsed="false">
      <c r="A33" s="17" t="s">
        <v>240</v>
      </c>
      <c r="B33" s="23" t="s">
        <v>37</v>
      </c>
      <c r="C33" s="17" t="s">
        <v>241</v>
      </c>
      <c r="D33" s="17" t="s">
        <v>242</v>
      </c>
      <c r="E33" s="17" t="s">
        <v>243</v>
      </c>
      <c r="F33" s="17" t="s">
        <v>123</v>
      </c>
      <c r="G33" s="9" t="s">
        <v>66</v>
      </c>
      <c r="H33" s="9" t="s">
        <v>82</v>
      </c>
      <c r="I33" s="17" t="s">
        <v>244</v>
      </c>
      <c r="J33" s="17" t="s">
        <v>68</v>
      </c>
      <c r="K33" s="9"/>
      <c r="L33" s="17" t="s">
        <v>245</v>
      </c>
    </row>
    <row r="34" customFormat="false" ht="15" hidden="false" customHeight="false" outlineLevel="0" collapsed="false">
      <c r="A34" s="17" t="s">
        <v>246</v>
      </c>
      <c r="B34" s="23" t="s">
        <v>37</v>
      </c>
      <c r="C34" s="17" t="s">
        <v>241</v>
      </c>
      <c r="D34" s="17" t="s">
        <v>247</v>
      </c>
      <c r="E34" s="17" t="s">
        <v>248</v>
      </c>
      <c r="F34" s="17" t="s">
        <v>123</v>
      </c>
      <c r="G34" s="9" t="s">
        <v>66</v>
      </c>
      <c r="H34" s="9" t="s">
        <v>82</v>
      </c>
      <c r="I34" s="17" t="s">
        <v>199</v>
      </c>
      <c r="J34" s="17" t="s">
        <v>249</v>
      </c>
      <c r="K34" s="19" t="s">
        <v>60</v>
      </c>
      <c r="L34" s="17" t="s">
        <v>250</v>
      </c>
    </row>
    <row r="35" customFormat="false" ht="15" hidden="false" customHeight="false" outlineLevel="0" collapsed="false">
      <c r="A35" s="17" t="s">
        <v>251</v>
      </c>
      <c r="B35" s="24" t="s">
        <v>38</v>
      </c>
      <c r="C35" s="17" t="s">
        <v>252</v>
      </c>
      <c r="D35" s="17" t="s">
        <v>253</v>
      </c>
      <c r="E35" s="17" t="s">
        <v>254</v>
      </c>
      <c r="F35" s="17" t="s">
        <v>204</v>
      </c>
      <c r="G35" s="9" t="s">
        <v>66</v>
      </c>
      <c r="H35" s="9" t="s">
        <v>57</v>
      </c>
      <c r="I35" s="17" t="s">
        <v>255</v>
      </c>
      <c r="J35" s="17" t="s">
        <v>256</v>
      </c>
      <c r="K35" s="19" t="s">
        <v>60</v>
      </c>
      <c r="L35" s="17" t="s">
        <v>257</v>
      </c>
    </row>
    <row r="36" customFormat="false" ht="15" hidden="false" customHeight="false" outlineLevel="0" collapsed="false">
      <c r="A36" s="17" t="s">
        <v>258</v>
      </c>
      <c r="B36" s="24" t="s">
        <v>38</v>
      </c>
      <c r="C36" s="17" t="s">
        <v>252</v>
      </c>
      <c r="D36" s="17" t="s">
        <v>259</v>
      </c>
      <c r="E36" s="17" t="s">
        <v>260</v>
      </c>
      <c r="F36" s="17" t="s">
        <v>261</v>
      </c>
      <c r="G36" s="9" t="s">
        <v>56</v>
      </c>
      <c r="H36" s="9" t="s">
        <v>57</v>
      </c>
      <c r="I36" s="17" t="s">
        <v>249</v>
      </c>
      <c r="J36" s="17" t="s">
        <v>256</v>
      </c>
      <c r="K36" s="9"/>
      <c r="L36" s="17"/>
    </row>
    <row r="37" customFormat="false" ht="15" hidden="false" customHeight="false" outlineLevel="0" collapsed="false">
      <c r="A37" s="17" t="s">
        <v>262</v>
      </c>
      <c r="B37" s="24" t="s">
        <v>38</v>
      </c>
      <c r="C37" s="17" t="s">
        <v>263</v>
      </c>
      <c r="D37" s="17" t="s">
        <v>264</v>
      </c>
      <c r="E37" s="17" t="s">
        <v>265</v>
      </c>
      <c r="F37" s="17" t="s">
        <v>123</v>
      </c>
      <c r="G37" s="9" t="s">
        <v>66</v>
      </c>
      <c r="H37" s="9" t="s">
        <v>57</v>
      </c>
      <c r="I37" s="17" t="s">
        <v>266</v>
      </c>
      <c r="J37" s="17" t="s">
        <v>68</v>
      </c>
      <c r="K37" s="19" t="s">
        <v>60</v>
      </c>
      <c r="L37" s="17"/>
    </row>
    <row r="38" customFormat="false" ht="15" hidden="false" customHeight="false" outlineLevel="0" collapsed="false">
      <c r="A38" s="17" t="s">
        <v>267</v>
      </c>
      <c r="B38" s="24" t="s">
        <v>38</v>
      </c>
      <c r="C38" s="17" t="s">
        <v>263</v>
      </c>
      <c r="D38" s="17" t="s">
        <v>268</v>
      </c>
      <c r="E38" s="17" t="s">
        <v>269</v>
      </c>
      <c r="F38" s="17" t="s">
        <v>270</v>
      </c>
      <c r="G38" s="9" t="s">
        <v>56</v>
      </c>
      <c r="H38" s="9" t="s">
        <v>57</v>
      </c>
      <c r="I38" s="17" t="s">
        <v>271</v>
      </c>
      <c r="J38" s="17" t="s">
        <v>68</v>
      </c>
      <c r="K38" s="9"/>
      <c r="L38" s="17"/>
    </row>
    <row r="39" customFormat="false" ht="15" hidden="false" customHeight="false" outlineLevel="0" collapsed="false">
      <c r="A39" s="17" t="s">
        <v>272</v>
      </c>
      <c r="B39" s="24" t="s">
        <v>38</v>
      </c>
      <c r="C39" s="17" t="s">
        <v>263</v>
      </c>
      <c r="D39" s="17" t="s">
        <v>273</v>
      </c>
      <c r="E39" s="17" t="s">
        <v>274</v>
      </c>
      <c r="F39" s="17" t="s">
        <v>123</v>
      </c>
      <c r="G39" s="9" t="s">
        <v>56</v>
      </c>
      <c r="H39" s="9" t="s">
        <v>57</v>
      </c>
      <c r="I39" s="17" t="s">
        <v>275</v>
      </c>
      <c r="J39" s="17" t="s">
        <v>68</v>
      </c>
      <c r="K39" s="19" t="s">
        <v>60</v>
      </c>
      <c r="L39" s="17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277</v>
      </c>
    </row>
    <row r="3" customFormat="false" ht="15" hidden="false" customHeight="false" outlineLevel="0" collapsed="false">
      <c r="B3" s="2" t="s">
        <v>278</v>
      </c>
    </row>
    <row r="5" customFormat="false" ht="48" hidden="false" customHeight="true" outlineLevel="0" collapsed="false">
      <c r="B5" s="25" t="s">
        <v>279</v>
      </c>
      <c r="C5" s="26" t="s">
        <v>280</v>
      </c>
    </row>
    <row r="6" customFormat="false" ht="48" hidden="false" customHeight="true" outlineLevel="0" collapsed="false">
      <c r="B6" s="25" t="s">
        <v>45</v>
      </c>
      <c r="C6" s="26" t="s">
        <v>281</v>
      </c>
    </row>
    <row r="7" customFormat="false" ht="48" hidden="false" customHeight="true" outlineLevel="0" collapsed="false">
      <c r="B7" s="25" t="s">
        <v>282</v>
      </c>
      <c r="C7" s="26" t="s">
        <v>283</v>
      </c>
    </row>
    <row r="8" customFormat="false" ht="48" hidden="false" customHeight="true" outlineLevel="0" collapsed="false">
      <c r="B8" s="25" t="s">
        <v>284</v>
      </c>
      <c r="C8" s="26" t="s">
        <v>285</v>
      </c>
    </row>
    <row r="9" customFormat="false" ht="48" hidden="false" customHeight="true" outlineLevel="0" collapsed="false">
      <c r="B9" s="25" t="s">
        <v>286</v>
      </c>
      <c r="C9" s="26" t="s">
        <v>287</v>
      </c>
    </row>
    <row r="10" customFormat="false" ht="48" hidden="false" customHeight="true" outlineLevel="0" collapsed="false">
      <c r="B10" s="25" t="s">
        <v>288</v>
      </c>
      <c r="C10" s="26" t="s">
        <v>289</v>
      </c>
    </row>
    <row r="11" customFormat="false" ht="48" hidden="false" customHeight="true" outlineLevel="0" collapsed="false">
      <c r="B11" s="25" t="s">
        <v>290</v>
      </c>
      <c r="C11" s="26" t="s">
        <v>291</v>
      </c>
    </row>
    <row r="12" customFormat="false" ht="48" hidden="false" customHeight="true" outlineLevel="0" collapsed="false">
      <c r="B12" s="25" t="s">
        <v>292</v>
      </c>
      <c r="C12" s="26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2026-07-11T07:14:55Z</dcterms:created>
  <dc:creator>openpyxl</dc:creator>
  <dc:description/>
  <dc:language>en-US</dc:language>
  <cp:lastModifiedBy/>
  <dcterms:modified xsi:type="dcterms:W3CDTF">2026-07-11T07:14:55Z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